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Snapshot" sheetId="1" state="visible" r:id="rId1"/>
    <sheet name="Purchase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5" customWidth="1" min="3" max="3"/>
    <col width="15" customWidth="1" min="4" max="4"/>
    <col width="17" customWidth="1" min="5" max="5"/>
    <col width="12" customWidth="1" min="6" max="6"/>
    <col width="12" customWidth="1" min="7" max="7"/>
    <col width="17" customWidth="1" min="8" max="8"/>
    <col width="23" customWidth="1" min="9" max="9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ABC Category</t>
        </is>
      </c>
      <c r="D1" s="1" t="inlineStr">
        <is>
          <t>System Count</t>
        </is>
      </c>
      <c r="E1" s="1" t="inlineStr">
        <is>
          <t>Expected Count</t>
        </is>
      </c>
      <c r="F1" s="1" t="inlineStr">
        <is>
          <t>Variance</t>
        </is>
      </c>
      <c r="G1" s="1" t="inlineStr">
        <is>
          <t>Unit Cost</t>
        </is>
      </c>
      <c r="H1" s="1" t="inlineStr">
        <is>
          <t>Variance Value</t>
        </is>
      </c>
      <c r="I1" s="1" t="inlineStr">
        <is>
          <t>Location</t>
        </is>
      </c>
    </row>
    <row r="2">
      <c r="A2" s="2" t="inlineStr">
        <is>
          <t>VC-SERUM-30</t>
        </is>
      </c>
      <c r="B2" s="2" t="inlineStr">
        <is>
          <t>Vitamin C Serum 30ml</t>
        </is>
      </c>
      <c r="C2" s="2" t="inlineStr">
        <is>
          <t>A</t>
        </is>
      </c>
      <c r="D2" s="2" t="n">
        <v>342</v>
      </c>
      <c r="E2" s="2" t="n">
        <v>342</v>
      </c>
      <c r="F2" s="2">
        <f>D2-E2</f>
        <v/>
      </c>
      <c r="G2" s="3" t="n">
        <v>12.5</v>
      </c>
      <c r="H2" s="3">
        <f>F2*G2</f>
        <v/>
      </c>
      <c r="I2" s="2" t="inlineStr">
        <is>
          <t>ShipBob LA - Aisle 2</t>
        </is>
      </c>
    </row>
    <row r="3">
      <c r="A3" s="4" t="inlineStr">
        <is>
          <t>HA-SERUM-50</t>
        </is>
      </c>
      <c r="B3" s="4" t="inlineStr">
        <is>
          <t>Hyaluronic Acid Serum 50ml</t>
        </is>
      </c>
      <c r="C3" s="4" t="inlineStr">
        <is>
          <t>A</t>
        </is>
      </c>
      <c r="D3" s="4" t="n">
        <v>238</v>
      </c>
      <c r="E3" s="4" t="n">
        <v>238</v>
      </c>
      <c r="F3" s="4">
        <f>D3-E3</f>
        <v/>
      </c>
      <c r="G3" s="5" t="n">
        <v>18</v>
      </c>
      <c r="H3" s="5">
        <f>F3*G3</f>
        <v/>
      </c>
      <c r="I3" s="4" t="inlineStr">
        <is>
          <t>ShipBob LA - Aisle 2</t>
        </is>
      </c>
    </row>
    <row r="4">
      <c r="A4" s="2" t="inlineStr">
        <is>
          <t>RT-CREAM-30</t>
        </is>
      </c>
      <c r="B4" s="2" t="inlineStr">
        <is>
          <t>Retinol Night Cream 30ml</t>
        </is>
      </c>
      <c r="C4" s="2" t="inlineStr">
        <is>
          <t>A</t>
        </is>
      </c>
      <c r="D4" s="2" t="n">
        <v>156</v>
      </c>
      <c r="E4" s="2" t="n">
        <v>156</v>
      </c>
      <c r="F4" s="2">
        <f>D4-E4</f>
        <v/>
      </c>
      <c r="G4" s="3" t="n">
        <v>22</v>
      </c>
      <c r="H4" s="3">
        <f>F4*G4</f>
        <v/>
      </c>
      <c r="I4" s="2" t="inlineStr">
        <is>
          <t>ShipBob LA - Aisle 3</t>
        </is>
      </c>
    </row>
    <row r="5">
      <c r="A5" s="4" t="inlineStr">
        <is>
          <t>SPF-50-60</t>
        </is>
      </c>
      <c r="B5" s="4" t="inlineStr">
        <is>
          <t>SPF 50 Sunscreen 60ml</t>
        </is>
      </c>
      <c r="C5" s="4" t="inlineStr">
        <is>
          <t>B</t>
        </is>
      </c>
      <c r="D5" s="4" t="n">
        <v>510</v>
      </c>
      <c r="E5" s="4" t="n">
        <v>510</v>
      </c>
      <c r="F5" s="4">
        <f>D5-E5</f>
        <v/>
      </c>
      <c r="G5" s="5" t="n">
        <v>8.5</v>
      </c>
      <c r="H5" s="5">
        <f>F5*G5</f>
        <v/>
      </c>
      <c r="I5" s="4" t="inlineStr">
        <is>
          <t>ShipBob LA - Aisle 5</t>
        </is>
      </c>
    </row>
    <row r="6">
      <c r="A6" s="2" t="inlineStr">
        <is>
          <t>CL-FOAM-150</t>
        </is>
      </c>
      <c r="B6" s="2" t="inlineStr">
        <is>
          <t>Cleansing Foam 150ml</t>
        </is>
      </c>
      <c r="C6" s="2" t="inlineStr">
        <is>
          <t>B</t>
        </is>
      </c>
      <c r="D6" s="2" t="n">
        <v>450</v>
      </c>
      <c r="E6" s="2" t="n">
        <v>450</v>
      </c>
      <c r="F6" s="2">
        <f>D6-E6</f>
        <v/>
      </c>
      <c r="G6" s="3" t="n">
        <v>6</v>
      </c>
      <c r="H6" s="3">
        <f>F6*G6</f>
        <v/>
      </c>
      <c r="I6" s="2" t="inlineStr">
        <is>
          <t>ShipBob LA - Aisle 5</t>
        </is>
      </c>
    </row>
    <row r="7">
      <c r="A7" s="4" t="inlineStr">
        <is>
          <t>EY-CREAM-15</t>
        </is>
      </c>
      <c r="B7" s="4" t="inlineStr">
        <is>
          <t>Eye Cream 15ml</t>
        </is>
      </c>
      <c r="C7" s="4" t="inlineStr">
        <is>
          <t>A</t>
        </is>
      </c>
      <c r="D7" s="4" t="n">
        <v>89</v>
      </c>
      <c r="E7" s="4" t="n">
        <v>89</v>
      </c>
      <c r="F7" s="4">
        <f>D7-E7</f>
        <v/>
      </c>
      <c r="G7" s="5" t="n">
        <v>28</v>
      </c>
      <c r="H7" s="5">
        <f>F7*G7</f>
        <v/>
      </c>
      <c r="I7" s="4" t="inlineStr">
        <is>
          <t>ShipBob LA - Aisle 1</t>
        </is>
      </c>
    </row>
    <row r="8">
      <c r="A8" s="2" t="inlineStr">
        <is>
          <t>TN-WATER-200</t>
        </is>
      </c>
      <c r="B8" s="2" t="inlineStr">
        <is>
          <t>Toning Water 200ml</t>
        </is>
      </c>
      <c r="C8" s="2" t="inlineStr">
        <is>
          <t>C</t>
        </is>
      </c>
      <c r="D8" s="2" t="n">
        <v>620</v>
      </c>
      <c r="E8" s="2" t="n">
        <v>620</v>
      </c>
      <c r="F8" s="2">
        <f>D8-E8</f>
        <v/>
      </c>
      <c r="G8" s="3" t="n">
        <v>4.5</v>
      </c>
      <c r="H8" s="3">
        <f>F8*G8</f>
        <v/>
      </c>
      <c r="I8" s="2" t="inlineStr">
        <is>
          <t>ShipBob LA - Aisle 7</t>
        </is>
      </c>
    </row>
    <row r="9">
      <c r="A9" s="4" t="inlineStr">
        <is>
          <t>LIP-BALM-10</t>
        </is>
      </c>
      <c r="B9" s="4" t="inlineStr">
        <is>
          <t>Lip Balm SPF 10ml</t>
        </is>
      </c>
      <c r="C9" s="4" t="inlineStr">
        <is>
          <t>C</t>
        </is>
      </c>
      <c r="D9" s="4" t="n">
        <v>1200</v>
      </c>
      <c r="E9" s="4" t="n">
        <v>1200</v>
      </c>
      <c r="F9" s="4">
        <f>D9-E9</f>
        <v/>
      </c>
      <c r="G9" s="5" t="n">
        <v>2</v>
      </c>
      <c r="H9" s="5">
        <f>F9*G9</f>
        <v/>
      </c>
      <c r="I9" s="4" t="inlineStr">
        <is>
          <t>ShipBob LA - Aisle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29" customWidth="1" min="4" max="4"/>
    <col width="14" customWidth="1" min="5" max="5"/>
    <col width="15" customWidth="1" min="6" max="6"/>
    <col width="15" customWidth="1" min="7" max="7"/>
    <col width="12" customWidth="1" min="8" max="8"/>
    <col width="17" customWidth="1" min="9" max="9"/>
    <col width="16" customWidth="1" min="10" max="10"/>
    <col width="14" customWidth="1" min="11" max="11"/>
    <col width="13" customWidth="1" min="12" max="12"/>
    <col width="16" customWidth="1" min="13" max="13"/>
  </cols>
  <sheetData>
    <row r="1">
      <c r="A1" s="1" t="inlineStr">
        <is>
          <t>PO Number</t>
        </is>
      </c>
      <c r="B1" s="1" t="inlineStr">
        <is>
          <t>Supplier</t>
        </is>
      </c>
      <c r="C1" s="1" t="inlineStr">
        <is>
          <t>SKU</t>
        </is>
      </c>
      <c r="D1" s="1" t="inlineStr">
        <is>
          <t>Product</t>
        </is>
      </c>
      <c r="E1" s="1" t="inlineStr">
        <is>
          <t>Qty Ordered</t>
        </is>
      </c>
      <c r="F1" s="1" t="inlineStr">
        <is>
          <t>Qty Received</t>
        </is>
      </c>
      <c r="G1" s="1" t="inlineStr">
        <is>
          <t>Qty Variance</t>
        </is>
      </c>
      <c r="H1" s="1" t="inlineStr">
        <is>
          <t>Unit Cost</t>
        </is>
      </c>
      <c r="I1" s="1" t="inlineStr">
        <is>
          <t>Invoice Amount</t>
        </is>
      </c>
      <c r="J1" s="1" t="inlineStr">
        <is>
          <t>Expected Cost</t>
        </is>
      </c>
      <c r="K1" s="1" t="inlineStr">
        <is>
          <t>Overpayment</t>
        </is>
      </c>
      <c r="L1" s="1" t="inlineStr">
        <is>
          <t>Order Date</t>
        </is>
      </c>
      <c r="M1" s="1" t="inlineStr">
        <is>
          <t>Received Date</t>
        </is>
      </c>
    </row>
    <row r="2">
      <c r="A2" s="2" t="inlineStr">
        <is>
          <t>PO-2847</t>
        </is>
      </c>
      <c r="B2" s="2" t="inlineStr">
        <is>
          <t>GlowBase Ingredients</t>
        </is>
      </c>
      <c r="C2" s="2" t="inlineStr">
        <is>
          <t>HA-SERUM-50</t>
        </is>
      </c>
      <c r="D2" s="2" t="inlineStr">
        <is>
          <t>Hyaluronic Acid Serum 50ml</t>
        </is>
      </c>
      <c r="E2" s="2" t="n">
        <v>500</v>
      </c>
      <c r="F2" s="2" t="n">
        <v>460</v>
      </c>
      <c r="G2" s="2">
        <f>E2-F2</f>
        <v/>
      </c>
      <c r="H2" s="3" t="n">
        <v>18</v>
      </c>
      <c r="I2" s="3" t="n">
        <v>9000</v>
      </c>
      <c r="J2" s="3">
        <f>F2*H2</f>
        <v/>
      </c>
      <c r="K2" s="3">
        <f>I2-J2</f>
        <v/>
      </c>
      <c r="L2" s="2" t="inlineStr">
        <is>
          <t>2026-03-10</t>
        </is>
      </c>
      <c r="M2" s="2" t="inlineStr">
        <is>
          <t>2026-03-18</t>
        </is>
      </c>
    </row>
    <row r="3">
      <c r="A3" s="4" t="inlineStr">
        <is>
          <t>PO-2848</t>
        </is>
      </c>
      <c r="B3" s="4" t="inlineStr">
        <is>
          <t>PureSkin Labs</t>
        </is>
      </c>
      <c r="C3" s="4" t="inlineStr">
        <is>
          <t>VC-SERUM-30</t>
        </is>
      </c>
      <c r="D3" s="4" t="inlineStr">
        <is>
          <t>Vitamin C Serum 30ml</t>
        </is>
      </c>
      <c r="E3" s="4" t="n">
        <v>200</v>
      </c>
      <c r="F3" s="4" t="n">
        <v>200</v>
      </c>
      <c r="G3" s="4">
        <f>E3-F3</f>
        <v/>
      </c>
      <c r="H3" s="5" t="n">
        <v>12.5</v>
      </c>
      <c r="I3" s="5" t="n">
        <v>2500</v>
      </c>
      <c r="J3" s="5">
        <f>F3*H3</f>
        <v/>
      </c>
      <c r="K3" s="5">
        <f>I3-J3</f>
        <v/>
      </c>
      <c r="L3" s="4" t="inlineStr">
        <is>
          <t>2026-03-12</t>
        </is>
      </c>
      <c r="M3" s="4" t="inlineStr">
        <is>
          <t>2026-03-20</t>
        </is>
      </c>
    </row>
    <row r="4">
      <c r="A4" s="2" t="inlineStr">
        <is>
          <t>PO-2849</t>
        </is>
      </c>
      <c r="B4" s="2" t="inlineStr">
        <is>
          <t>GlowBase Ingredients</t>
        </is>
      </c>
      <c r="C4" s="2" t="inlineStr">
        <is>
          <t>RT-CREAM-30</t>
        </is>
      </c>
      <c r="D4" s="2" t="inlineStr">
        <is>
          <t>Retinol Night Cream 30ml</t>
        </is>
      </c>
      <c r="E4" s="2" t="n">
        <v>100</v>
      </c>
      <c r="F4" s="2" t="n">
        <v>100</v>
      </c>
      <c r="G4" s="2">
        <f>E4-F4</f>
        <v/>
      </c>
      <c r="H4" s="3" t="n">
        <v>22</v>
      </c>
      <c r="I4" s="3" t="n">
        <v>2200</v>
      </c>
      <c r="J4" s="3">
        <f>F4*H4</f>
        <v/>
      </c>
      <c r="K4" s="3">
        <f>I4-J4</f>
        <v/>
      </c>
      <c r="L4" s="2" t="inlineStr">
        <is>
          <t>2026-03-15</t>
        </is>
      </c>
      <c r="M4" s="2" t="inlineStr">
        <is>
          <t>2026-03-24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2026-03-28T21:30:42Z</dcterms:created>
  <dcterms:modified xsi:type="dcterms:W3CDTF">2026-03-28T23:46:53Z</dcterms:modified>
</cp:coreProperties>
</file>